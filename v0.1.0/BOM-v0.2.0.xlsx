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enn\Downloads\Research\MyStuff\"/>
    </mc:Choice>
  </mc:AlternateContent>
  <xr:revisionPtr revIDLastSave="0" documentId="8_{B6D025EC-0244-47B8-9162-71493252FC4E}" xr6:coauthVersionLast="47" xr6:coauthVersionMax="47" xr10:uidLastSave="{00000000-0000-0000-0000-000000000000}"/>
  <bookViews>
    <workbookView xWindow="9480" yWindow="0" windowWidth="13656" windowHeight="13056" xr2:uid="{B9911C6F-0B58-40F6-BAF9-4BEDC7DF39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1" l="1"/>
  <c r="G17" i="1"/>
  <c r="G16" i="1"/>
  <c r="G15" i="1"/>
</calcChain>
</file>

<file path=xl/sharedStrings.xml><?xml version="1.0" encoding="utf-8"?>
<sst xmlns="http://schemas.openxmlformats.org/spreadsheetml/2006/main" count="90" uniqueCount="80">
  <si>
    <t>Internal Part Name</t>
  </si>
  <si>
    <t>Material type</t>
  </si>
  <si>
    <t>MFR Part Number</t>
  </si>
  <si>
    <t>Amount Per unit</t>
  </si>
  <si>
    <t>Individual Cost</t>
  </si>
  <si>
    <t>Total Cost  (per unit)</t>
  </si>
  <si>
    <t>Notes</t>
  </si>
  <si>
    <t>Vendor 1</t>
  </si>
  <si>
    <t>Vendor 2</t>
  </si>
  <si>
    <t>Vendor 3</t>
  </si>
  <si>
    <t>Vendor 4</t>
  </si>
  <si>
    <t>Vendor 5</t>
  </si>
  <si>
    <t>Vendor 6</t>
  </si>
  <si>
    <t>BVV 2 Gallon Resin Trap Vacuum Chamber</t>
  </si>
  <si>
    <t>Machine</t>
  </si>
  <si>
    <t>BVV2G-RT</t>
  </si>
  <si>
    <t>http://ebay.com/itm/274055133119?_skw=VARTM+resin+trap&amp;itmmeta=01M3PYM3ACJPNCGDH0A9XBDMM2&amp;hash=item3fcef577bf:g:HWgAAOSweypgVfWj&amp;itmprp=enc%3AAQALAAAA8GfYFPkwiKCW4ZNSs2u11xC9E1BFdd5ljRkNriErc2ECLeQoXDVlvmO3nFcP0LgcKWueaMqCBicBJnz%2Be4VZzAs%2FjgpIlgMvBKbufEEY8C0q9Vg4QGDXc7BteSFTmvqloT41aMAwXKjpRLsqFZVyulAp%2FPbKUoUNovFJusi2wBqhDuGTQ1HEpAqxhPz46JT1ccSEIvtqBxpOHpdyfNvAMs2EeHykb8Ue4as6FdfsjiuzjlYdsxNNhjb3RG9sNvh0FUYx9yXfJXHO28WG5Iw1Ar9zJ2UN1Hfw%2Bd56vPucWI7t%2FND8WqkN2TeiPc3Bi3ULSA%3D%3D%7Ctkp%3ABk9SR8S10N6daA</t>
  </si>
  <si>
    <t>6 OZ Fiberglass Cloth</t>
  </si>
  <si>
    <t>Fiberglass Component</t>
  </si>
  <si>
    <t>650, 6oz Fiberglass Cloth, 50" Width, 5 YD</t>
  </si>
  <si>
    <t>LBI-650-5</t>
  </si>
  <si>
    <t>1 (bought in intervals of 5yds)</t>
  </si>
  <si>
    <t>https://www.lbifiberglass.com/product/6-oz-fiberglass-cloth/?utm_source=chatgpt.com</t>
  </si>
  <si>
    <t>Airtech Vacuum Bag Sealant Tape</t>
  </si>
  <si>
    <t>Consumable</t>
  </si>
  <si>
    <t>Airtech Vacuum Bag Sealant Tape, Roll</t>
  </si>
  <si>
    <t>AIRTECH VACUUM TAPE</t>
  </si>
  <si>
    <t>3 rolls</t>
  </si>
  <si>
    <t>https://fiberglassflorida.com/airtech-vacuum-bag-sealant-tape.html</t>
  </si>
  <si>
    <t>Airtech - VAC RIC (Resin Infusion Connector)</t>
  </si>
  <si>
    <t xml:space="preserve"> Z-1602</t>
  </si>
  <si>
    <t>https://www.compositeenvisions.com/Airtech-VAC-RIC-Resin-Infusion-Connector?quantity=1&amp;hole-size=1&amp;srsltid=AU7gw4UUj9Brj03AHU3FPr_yg-0Iv3YqO1riGBG9767gAx5fbKh6AOmS</t>
  </si>
  <si>
    <t>Econostitch® Peel Ply 60"</t>
  </si>
  <si>
    <t>7ECONOSTITCH</t>
  </si>
  <si>
    <t>3 yds</t>
  </si>
  <si>
    <t>https://fiberglassflorida.com/econostitchr-peel-ply-60.html</t>
  </si>
  <si>
    <t>GREEN FLOW MEDIA 60"</t>
  </si>
  <si>
    <t>greenflow60"</t>
  </si>
  <si>
    <t>https://fiberglassflorida.com/green-flow-media-41.html</t>
  </si>
  <si>
    <t>AIRTECH BAGGING FILM 60"</t>
  </si>
  <si>
    <t>7AIRTECHWL5400</t>
  </si>
  <si>
    <t>5 yds</t>
  </si>
  <si>
    <t>https://fiberglassflorida.com/airtech-bagging-film-160-vaccum-blue.html</t>
  </si>
  <si>
    <t>Latex Gloves-Box (100/Gloves)</t>
  </si>
  <si>
    <t>Misc</t>
  </si>
  <si>
    <t>12LATEX</t>
  </si>
  <si>
    <t>1 box</t>
  </si>
  <si>
    <t>Size Large</t>
  </si>
  <si>
    <t>https://fiberglassflorida.com/latex-gloves.html</t>
  </si>
  <si>
    <t>12oz Barium Mixing Cups for Resin &amp; Gelcoat</t>
  </si>
  <si>
    <t>12OZ BARIUM CUPS-1</t>
  </si>
  <si>
    <t>30 cups</t>
  </si>
  <si>
    <t>https://fiberglassflorida.com/12oz-barium-cups.html</t>
  </si>
  <si>
    <t>1General Purpose Epoxy 2:1 | Fiberglass Florida</t>
  </si>
  <si>
    <t>gpepoxy1</t>
  </si>
  <si>
    <t>1 kit</t>
  </si>
  <si>
    <t>Quart Kit</t>
  </si>
  <si>
    <t>https://fiberglassflorida.com/general-purpose-epoxy-2-1.html</t>
  </si>
  <si>
    <t>Total:</t>
  </si>
  <si>
    <t>Description</t>
  </si>
  <si>
    <t>Professional Resin Degassing Chamber Kit: 3.5CFM Pump &amp; 3Gal Stainless Steel Pot for Bubble Removal</t>
  </si>
  <si>
    <t>VP125</t>
  </si>
  <si>
    <t>(BVV Trap)</t>
  </si>
  <si>
    <t>(Trap &amp; Vacuum)</t>
  </si>
  <si>
    <t>5 Gallon Acrylic Vacuum Chamber 3.5 CFM Pump Epoxy Resin Degassing Pot 304 SS XL</t>
  </si>
  <si>
    <t>VH1365US-N1</t>
  </si>
  <si>
    <t>(Big trap kit)</t>
  </si>
  <si>
    <t>Resin Trap and vacuum (similar to the one at maher they said the trap was great but the vacuum was subpar)</t>
  </si>
  <si>
    <t>Resin Trap and Vacuum and oil and and tubing</t>
  </si>
  <si>
    <t>Resin Trap for protecting  pump and holding vacuum</t>
  </si>
  <si>
    <t>Tube connector Dr. Mobli's lab uses (rips bag less)</t>
  </si>
  <si>
    <t>misc</t>
  </si>
  <si>
    <t>Consumable for easier removal of DM</t>
  </si>
  <si>
    <t>Consumable for distribution of resin during vacuum</t>
  </si>
  <si>
    <t>Vacuum bag material (keeps air out)</t>
  </si>
  <si>
    <t xml:space="preserve">Box of 100 gloves </t>
  </si>
  <si>
    <t>Restock on mixing cups</t>
  </si>
  <si>
    <t>Same resin system that was used before</t>
  </si>
  <si>
    <t>https://www.walmart.com/ip/Professional-Resin-Degassing-Chamber-Kit-3-5CFM-Pump-3Gal-Stainless-Steel-Pot-for-Bubble-Removal/17634851034?wmlspartner=wlpa&amp;selectedSellerId=102879550&amp;selectedOfferId=8423975386863AD483C2ADC23C47CB0A&amp;conditionGroupCode=1&amp;veh=seo_fpl&amp;cn=google</t>
  </si>
  <si>
    <t>https://www.ebay.com/itm/298685076596?_trkparms=itmf%3D1%26aid%3D1110018%26rkt%3D12%26pid%3D101196%26mech%3D1%26algv%3DCompVIDesktopATF2V6ReplaceKnnV4WithVectorDbNsOptHotPlRecallWithSiblingFilterCpcRecallsWithCiiQueryEmbedding%26pmt%3D1%26amclksrc%3DITM%26sd%3D274055133119%26sid%3DAQALAAAAEBhifTdfkzmTeD29moLFtbQ%3D%26itm%3D298685076596%26noa%3D0%26plcampt%3D0%3A168365155016%26algo%3DHOMESPLICE.COMPLISTINGS%26brand%3DUnbranded%26asc%3D344877,344812%26ao%3D1%26rk%3D4%26mehot%3Dpf%26lsid%3D0%26meid%3D06a96f6edf5e4eecbc4511079969d9f8%26pg%3D2332490&amp;_trksid=p2332490.c101196.m2219&amp;itmprp=cksum%3A29868507659606a96f6edf5e4eecbc4511079969d9f8%7Cenc%3AAQALAAABYPc4YgTWUogX4l4Wo4r6rbj89PpwuaernzlZ%252BQ9Jflnere4td0FNO7ZUFpdCZ5W1PHVcKr90xHJ8HZYqTb2OAMqpJmPfQb42ATbkA3%252F%252B2uHBZ%252FYS0K3D8IU17hUyYNcxbIlqG%252FrH0utxChRg1mB7bHXQX%252Fk5fmf5TAJ%252FOIK%252BRPgzS8YY5xe36qx6wNxEzq%252BK0cnZciiiEFfQLkdLE6PFi9YOm3XRxQmrv31OQX4j6%252FLl7wRe3Gfdi8b959nWJAdZlZyv2Wv1%252B3qUFZTCfswyxdUHTeunuZi%252F2xMob%252Fn5ea0NyW8Z1oEAGUMbpW%252Be0O50fUdmBeycFTuUrC5C%252BohHu7JrNOORena6hqfbDvuIRaAbaPMmKrcHpzZOSuZwovCMtBdL2xk80MPzwPM24CM3hTekJ2WSXh9PLwM5OCzndnvjmv8cEMpMYIYqNwTnrqzmzJRfOqaM6K%252BfTEY8Hse%252BoP4%253D%7Campid%3APL_CLK%7Cclp%3A2332490&amp;itmmeta=01M3XM7EJPTMJSFBDZ6C6AAH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</si>
</sst>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1"/>
    <xf numFmtId="0" fontId="0" fillId="2" borderId="2" xfId="0" applyFill="1" applyBorder="1" applyAlignment="1">
      <alignment horizontal="right"/>
    </xf>
    <xf numFmtId="0" fontId="0" fillId="0" borderId="0" xfId="0" applyAlignment="1">
      <alignment wrapText="1"/>
    </xf>
    <xf numFmtId="0" fontId="0" fillId="2" borderId="3" xfId="0" applyFill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berglassflorida.com/latex-gloves.html" TargetMode="External"/><Relationship Id="rId3" Type="http://schemas.openxmlformats.org/officeDocument/2006/relationships/hyperlink" Target="https://fiberglassflorida.com/airtech-vacuum-bag-sealant-tape.html" TargetMode="External"/><Relationship Id="rId7" Type="http://schemas.openxmlformats.org/officeDocument/2006/relationships/hyperlink" Target="https://fiberglassflorida.com/airtech-bagging-film-160-vaccum-blue.html" TargetMode="External"/><Relationship Id="rId12" Type="http://schemas.openxmlformats.org/officeDocument/2006/relationships/hyperlink" Target="https://www.ebay.com/itm/298685076596?_trkparms=itmf%3D1%26aid%3D1110018%26rkt%3D12%26pid%3D101196%26mech%3D1%26algv%3DCompVIDesktopATF2V6ReplaceKnnV4WithVectorDbNsOptHotPlRecallWithSiblingFilterCpcRecallsWithCiiQueryEmbedding%26pmt%3D1%26amclksrc%3DITM%26sd%3D274055133119%26sid%3DAQALAAAAEBhifTdfkzmTeD29moLFtbQ%3D%26itm%3D298685076596%26noa%3D0%26plcampt%3D0%3A168365155016%26algo%3DHOMESPLICE.COMPLISTINGS%26brand%3DUnbranded%26asc%3D344877,344812%26ao%3D1%26rk%3D4%26mehot%3Dpf%26lsid%3D0%26meid%3D06a96f6edf5e4eecbc4511079969d9f8%26pg%3D2332490&amp;_trksid=p2332490.c101196.m2219&amp;itmprp=cksum%3A29868507659606a96f6edf5e4eecbc4511079969d9f8%7Cenc%3AAQALAAABYPc4YgTWUogX4l4Wo4r6rbj89PpwuaernzlZ%252BQ9Jflnere4td0FNO7ZUFpdCZ5W1PHVcKr90xHJ8HZYqTb2OAMqpJmPfQb42ATbkA3%252F%252B2uHBZ%252FYS0K3D8IU17hUyYNcxbIlqG%252FrH0utxChRg1mB7bHXQX%252Fk5fmf5TAJ%252FOIK%252BRPgzS8YY5xe36qx6wNxEzq%252BK0cnZciiiEFfQLkdLE6PFi9YOm3XRxQmrv31OQX4j6%252FLl7wRe3Gfdi8b959nWJAdZlZyv2Wv1%252B3qUFZTCfswyxdUHTeunuZi%252F2xMob%252Fn5ea0NyW8Z1oEAGUMbpW%252Be0O50fUdmBeycFTuUrC5C%252BohHu7JrNOORena6hqfbDvuIRaAbaPMmKrcHpzZOSuZwovCMtBdL2xk80MPzwPM24CM3hTekJ2WSXh9PLwM5OCzndnvjmv8cEMpMYIYqNwTnrqzmzJRfOqaM6K%252BfTEY8Hse%252BoP4%253D%7Campid%3APL_CLK%7Cclp%3A2332490&amp;itmmeta=01M3XM7EJPTMJSFBDZ6C6AAH7P" TargetMode="External"/><Relationship Id="rId2" Type="http://schemas.openxmlformats.org/officeDocument/2006/relationships/hyperlink" Target="https://www.lbifiberglass.com/product/6-oz-fiberglass-cloth/?utm_source=chatgpt.com" TargetMode="External"/><Relationship Id="rId1" Type="http://schemas.openxmlformats.org/officeDocument/2006/relationships/hyperlink" Target="http://ebay.com/itm/274055133119?_skw=VARTM+resin+trap&amp;itmmeta=01M3PYM3ACJPNCGDH0A9XBDMM2&amp;hash=item3fcef577bf:g:HWgAAOSweypgVfWj&amp;itmprp=enc%3AAQALAAAA8GfYFPkwiKCW4ZNSs2u11xC9E1BFdd5ljRkNriErc2ECLeQoXDVlvmO3nFcP0LgcKWueaMqCBicBJnz%2Be4VZzAs%2FjgpIlgMvBKbufEEY8C0q9Vg4QGDXc7BteSFTmvqloT41aMAwXKjpRLsqFZVyulAp%2FPbKUoUNovFJusi2wBqhDuGTQ1HEpAqxhPz46JT1ccSEIvtqBxpOHpdyfNvAMs2EeHykb8Ue4as6FdfsjiuzjlYdsxNNhjb3RG9sNvh0FUYx9yXfJXHO28WG5Iw1Ar9zJ2UN1Hfw%2Bd56vPucWI7t%2FND8WqkN2TeiPc3Bi3ULSA%3D%3D%7Ctkp%3ABk9SR8S10N6daA" TargetMode="External"/><Relationship Id="rId6" Type="http://schemas.openxmlformats.org/officeDocument/2006/relationships/hyperlink" Target="https://fiberglassflorida.com/green-flow-media-41.html" TargetMode="External"/><Relationship Id="rId11" Type="http://schemas.openxmlformats.org/officeDocument/2006/relationships/hyperlink" Target="https://www.walmart.com/ip/Professional-Resin-Degassing-Chamber-Kit-3-5CFM-Pump-3Gal-Stainless-Steel-Pot-for-Bubble-Removal/17634851034?wmlspartner=wlpa&amp;selectedSellerId=102879550&amp;selectedOfferId=8423975386863AD483C2ADC23C47CB0A&amp;conditionGroupCode=1&amp;veh=seo_fpl&amp;cn=google" TargetMode="External"/><Relationship Id="rId5" Type="http://schemas.openxmlformats.org/officeDocument/2006/relationships/hyperlink" Target="https://fiberglassflorida.com/econostitchr-peel-ply-60.html" TargetMode="External"/><Relationship Id="rId10" Type="http://schemas.openxmlformats.org/officeDocument/2006/relationships/hyperlink" Target="https://fiberglassflorida.com/general-purpose-epoxy-2-1.html" TargetMode="External"/><Relationship Id="rId4" Type="http://schemas.openxmlformats.org/officeDocument/2006/relationships/hyperlink" Target="https://www.compositeenvisions.com/Airtech-VAC-RIC-Resin-Infusion-Connector?quantity=1&amp;hole-size=1&amp;srsltid=AU7gw4UUj9Brj03AHU3FPr_yg-0Iv3YqO1riGBG9767gAx5fbKh6AOmS" TargetMode="External"/><Relationship Id="rId9" Type="http://schemas.openxmlformats.org/officeDocument/2006/relationships/hyperlink" Target="https://fiberglassflorida.com/12oz-barium-cup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AB73-3D58-471D-94BA-BB655CD96E29}">
  <dimension ref="A1:N17"/>
  <sheetViews>
    <sheetView tabSelected="1" workbookViewId="0">
      <selection activeCell="I13" sqref="I13"/>
    </sheetView>
  </sheetViews>
  <sheetFormatPr defaultRowHeight="14.4" x14ac:dyDescent="0.3"/>
  <cols>
    <col min="1" max="1" width="39.21875" customWidth="1"/>
    <col min="2" max="2" width="24.33203125" customWidth="1"/>
    <col min="3" max="3" width="41.6640625" customWidth="1"/>
    <col min="4" max="4" width="24.33203125" customWidth="1"/>
    <col min="5" max="5" width="24.109375" customWidth="1"/>
    <col min="6" max="6" width="19.44140625" customWidth="1"/>
    <col min="7" max="7" width="20.33203125" customWidth="1"/>
    <col min="8" max="8" width="15.21875" customWidth="1"/>
  </cols>
  <sheetData>
    <row r="1" spans="1:14" x14ac:dyDescent="0.3">
      <c r="A1" s="1" t="s">
        <v>0</v>
      </c>
      <c r="B1" s="1" t="s">
        <v>1</v>
      </c>
      <c r="C1" s="1" t="s">
        <v>59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13</v>
      </c>
      <c r="B2" t="s">
        <v>14</v>
      </c>
      <c r="C2" t="s">
        <v>69</v>
      </c>
      <c r="D2" t="s">
        <v>15</v>
      </c>
      <c r="E2">
        <v>1</v>
      </c>
      <c r="F2">
        <v>141.94999999999999</v>
      </c>
      <c r="G2">
        <v>141.94999999999999</v>
      </c>
      <c r="I2" s="2" t="s">
        <v>16</v>
      </c>
    </row>
    <row r="3" spans="1:14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27.25</v>
      </c>
      <c r="G3">
        <v>27.25</v>
      </c>
      <c r="I3" s="2" t="s">
        <v>22</v>
      </c>
    </row>
    <row r="4" spans="1:14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12.76</v>
      </c>
      <c r="G4">
        <v>38.28</v>
      </c>
      <c r="I4" s="2" t="s">
        <v>28</v>
      </c>
    </row>
    <row r="5" spans="1:14" x14ac:dyDescent="0.3">
      <c r="A5" t="s">
        <v>29</v>
      </c>
      <c r="B5" t="s">
        <v>71</v>
      </c>
      <c r="C5" t="s">
        <v>70</v>
      </c>
      <c r="D5" t="s">
        <v>30</v>
      </c>
      <c r="E5">
        <v>1</v>
      </c>
      <c r="F5">
        <v>10.35</v>
      </c>
      <c r="G5">
        <v>10.35</v>
      </c>
      <c r="I5" s="2" t="s">
        <v>31</v>
      </c>
    </row>
    <row r="6" spans="1:14" x14ac:dyDescent="0.3">
      <c r="A6" t="s">
        <v>32</v>
      </c>
      <c r="B6" t="s">
        <v>24</v>
      </c>
      <c r="C6" t="s">
        <v>72</v>
      </c>
      <c r="D6" t="s">
        <v>33</v>
      </c>
      <c r="E6" t="s">
        <v>34</v>
      </c>
      <c r="F6">
        <v>7.45</v>
      </c>
      <c r="G6">
        <v>22.35</v>
      </c>
      <c r="I6" s="2" t="s">
        <v>35</v>
      </c>
    </row>
    <row r="7" spans="1:14" x14ac:dyDescent="0.3">
      <c r="A7" t="s">
        <v>36</v>
      </c>
      <c r="B7" t="s">
        <v>24</v>
      </c>
      <c r="C7" t="s">
        <v>73</v>
      </c>
      <c r="D7" t="s">
        <v>37</v>
      </c>
      <c r="E7" t="s">
        <v>34</v>
      </c>
      <c r="F7">
        <v>4.41</v>
      </c>
      <c r="G7">
        <v>13.23</v>
      </c>
      <c r="I7" s="2" t="s">
        <v>38</v>
      </c>
    </row>
    <row r="8" spans="1:14" x14ac:dyDescent="0.3">
      <c r="A8" t="s">
        <v>39</v>
      </c>
      <c r="B8" t="s">
        <v>24</v>
      </c>
      <c r="C8" t="s">
        <v>74</v>
      </c>
      <c r="D8" t="s">
        <v>40</v>
      </c>
      <c r="E8" t="s">
        <v>41</v>
      </c>
      <c r="F8">
        <v>9.81</v>
      </c>
      <c r="G8">
        <v>49.05</v>
      </c>
      <c r="I8" s="2" t="s">
        <v>42</v>
      </c>
    </row>
    <row r="9" spans="1:14" x14ac:dyDescent="0.3">
      <c r="A9" t="s">
        <v>43</v>
      </c>
      <c r="B9" t="s">
        <v>44</v>
      </c>
      <c r="C9" t="s">
        <v>75</v>
      </c>
      <c r="D9" t="s">
        <v>45</v>
      </c>
      <c r="E9" t="s">
        <v>46</v>
      </c>
      <c r="F9">
        <v>10.88</v>
      </c>
      <c r="G9">
        <v>10.88</v>
      </c>
      <c r="H9" t="s">
        <v>47</v>
      </c>
      <c r="I9" s="2" t="s">
        <v>48</v>
      </c>
    </row>
    <row r="10" spans="1:14" x14ac:dyDescent="0.3">
      <c r="A10" t="s">
        <v>49</v>
      </c>
      <c r="B10" t="s">
        <v>44</v>
      </c>
      <c r="C10" t="s">
        <v>76</v>
      </c>
      <c r="D10" t="s">
        <v>50</v>
      </c>
      <c r="E10" t="s">
        <v>51</v>
      </c>
      <c r="F10">
        <v>0.56000000000000005</v>
      </c>
      <c r="G10">
        <f>0.56*30</f>
        <v>16.8</v>
      </c>
      <c r="I10" s="2" t="s">
        <v>52</v>
      </c>
    </row>
    <row r="11" spans="1:14" x14ac:dyDescent="0.3">
      <c r="A11" t="s">
        <v>53</v>
      </c>
      <c r="B11" t="s">
        <v>18</v>
      </c>
      <c r="C11" t="s">
        <v>77</v>
      </c>
      <c r="D11" t="s">
        <v>54</v>
      </c>
      <c r="E11" t="s">
        <v>55</v>
      </c>
      <c r="F11">
        <v>46.63</v>
      </c>
      <c r="G11">
        <v>46.63</v>
      </c>
      <c r="H11" t="s">
        <v>56</v>
      </c>
      <c r="I11" s="2" t="s">
        <v>57</v>
      </c>
    </row>
    <row r="12" spans="1:14" ht="43.2" x14ac:dyDescent="0.3">
      <c r="A12" s="4" t="s">
        <v>60</v>
      </c>
      <c r="B12" t="s">
        <v>14</v>
      </c>
      <c r="C12" s="4" t="s">
        <v>67</v>
      </c>
      <c r="D12" t="s">
        <v>61</v>
      </c>
      <c r="E12" t="s">
        <v>55</v>
      </c>
      <c r="F12">
        <v>129.88</v>
      </c>
      <c r="G12">
        <v>129.88</v>
      </c>
      <c r="I12" s="2" t="s">
        <v>78</v>
      </c>
    </row>
    <row r="13" spans="1:14" ht="28.8" x14ac:dyDescent="0.3">
      <c r="A13" s="4" t="s">
        <v>64</v>
      </c>
      <c r="B13" t="s">
        <v>14</v>
      </c>
      <c r="C13" t="s">
        <v>68</v>
      </c>
      <c r="D13" t="s">
        <v>65</v>
      </c>
      <c r="E13" t="s">
        <v>55</v>
      </c>
      <c r="F13">
        <v>115.99</v>
      </c>
      <c r="G13">
        <v>115.99</v>
      </c>
      <c r="I13" s="2" t="s">
        <v>79</v>
      </c>
    </row>
    <row r="15" spans="1:14" x14ac:dyDescent="0.3">
      <c r="F15" s="3" t="s">
        <v>58</v>
      </c>
      <c r="G15" s="5">
        <f>G2+G3+G4+G5+G7+G6+G8+G9+G10+G11</f>
        <v>376.77</v>
      </c>
      <c r="H15" t="s">
        <v>62</v>
      </c>
    </row>
    <row r="16" spans="1:14" x14ac:dyDescent="0.3">
      <c r="F16" s="6"/>
      <c r="G16" s="5">
        <f>G3+G4+G5+G6+G7+G8+G9+G10+G11+G12</f>
        <v>364.7</v>
      </c>
      <c r="H16" t="s">
        <v>63</v>
      </c>
    </row>
    <row r="17" spans="7:8" x14ac:dyDescent="0.3">
      <c r="G17" s="5">
        <f>G3+G4+G5+G6+G7+G8+G9+G10+G11+G13</f>
        <v>350.81</v>
      </c>
      <c r="H17" t="s">
        <v>66</v>
      </c>
    </row>
  </sheetData>
  <hyperlinks>
    <hyperlink ref="I2" r:id="rId1" display="http://ebay.com/itm/274055133119?_skw=VARTM+resin+trap&amp;itmmeta=01M3PYM3ACJPNCGDH0A9XBDMM2&amp;hash=item3fcef577bf:g:HWgAAOSweypgVfWj&amp;itmprp=enc%3AAQALAAAA8GfYFPkwiKCW4ZNSs2u11xC9E1BFdd5ljRkNriErc2ECLeQoXDVlvmO3nFcP0LgcKWueaMqCBicBJnz%2Be4VZzAs%2FjgpIlgMvBKbufEEY8C0q9Vg4QGDXc7BteSFTmvqloT41aMAwXKjpRLsqFZVyulAp%2FPbKUoUNovFJusi2wBqhDuGTQ1HEpAqxhPz46JT1ccSEIvtqBxpOHpdyfNvAMs2EeHykb8Ue4as6FdfsjiuzjlYdsxNNhjb3RG9sNvh0FUYx9yXfJXHO28WG5Iw1Ar9zJ2UN1Hfw%2Bd56vPucWI7t%2FND8WqkN2TeiPc3Bi3ULSA%3D%3D%7Ctkp%3ABk9SR8S10N6daA" xr:uid="{022209CD-50F0-421A-A795-5CE83C08930A}"/>
    <hyperlink ref="I3" r:id="rId2" xr:uid="{B5CD636A-338C-4C62-A6FF-BBA4789351EC}"/>
    <hyperlink ref="I4" r:id="rId3" xr:uid="{63A8FE4F-1F4A-416B-ADF3-DC0D831ABC17}"/>
    <hyperlink ref="I5" r:id="rId4" xr:uid="{547E9E05-DB22-412A-8DD4-931B99E2BC09}"/>
    <hyperlink ref="I6" r:id="rId5" xr:uid="{11B6B6BA-99EB-4254-9055-BC76504B1316}"/>
    <hyperlink ref="I7" r:id="rId6" xr:uid="{DD916175-FCA6-4919-91FC-E4CEAB019867}"/>
    <hyperlink ref="I8" r:id="rId7" xr:uid="{17526623-6485-41EC-AEAD-B94C9176B97F}"/>
    <hyperlink ref="I9" r:id="rId8" xr:uid="{5E11E40F-DA71-4724-9E02-158766486D67}"/>
    <hyperlink ref="I10" r:id="rId9" xr:uid="{2EE44D3D-C25B-43B1-B76A-2CE7336F6FB3}"/>
    <hyperlink ref="I11" r:id="rId10" xr:uid="{B1C12278-1783-4746-9111-56931CBC31ED}"/>
    <hyperlink ref="I12" r:id="rId11" display="https://www.walmart.com/ip/Professional-Resin-Degassing-Chamber-Kit-3-5CFM-Pump-3Gal-Stainless-Steel-Pot-for-Bubble-Removal/17634851034?wmlspartner=wlpa&amp;selectedSellerId=102879550&amp;selectedOfferId=8423975386863AD483C2ADC23C47CB0A&amp;conditionGroupCode=1&amp;veh=seo_fpl&amp;cn=google" xr:uid="{DAFB3B20-2997-49B5-B493-559F6770C825}"/>
    <hyperlink ref="I13" r:id="rId12" display="https://www.ebay.com/itm/298685076596?_trkparms=itmf%3D1%26aid%3D1110018%26rkt%3D12%26pid%3D101196%26mech%3D1%26algv%3DCompVIDesktopATF2V6ReplaceKnnV4WithVectorDbNsOptHotPlRecallWithSiblingFilterCpcRecallsWithCiiQueryEmbedding%26pmt%3D1%26amclksrc%3DITM%26sd%3D274055133119%26sid%3DAQALAAAAEBhifTdfkzmTeD29moLFtbQ%3D%26itm%3D298685076596%26noa%3D0%26plcampt%3D0%3A168365155016%26algo%3DHOMESPLICE.COMPLISTINGS%26brand%3DUnbranded%26asc%3D344877,344812%26ao%3D1%26rk%3D4%26mehot%3Dpf%26lsid%3D0%26meid%3D06a96f6edf5e4eecbc4511079969d9f8%26pg%3D2332490&amp;_trksid=p2332490.c101196.m2219&amp;itmprp=cksum%3A29868507659606a96f6edf5e4eecbc4511079969d9f8%7Cenc%3AAQALAAABYPc4YgTWUogX4l4Wo4r6rbj89PpwuaernzlZ%252BQ9Jflnere4td0FNO7ZUFpdCZ5W1PHVcKr90xHJ8HZYqTb2OAMqpJmPfQb42ATbkA3%252F%252B2uHBZ%252FYS0K3D8IU17hUyYNcxbIlqG%252FrH0utxChRg1mB7bHXQX%252Fk5fmf5TAJ%252FOIK%252BRPgzS8YY5xe36qx6wNxEzq%252BK0cnZciiiEFfQLkdLE6PFi9YOm3XRxQmrv31OQX4j6%252FLl7wRe3Gfdi8b959nWJAdZlZyv2Wv1%252B3qUFZTCfswyxdUHTeunuZi%252F2xMob%252Fn5ea0NyW8Z1oEAGUMbpW%252Be0O50fUdmBeycFTuUrC5C%252BohHu7JrNOORena6hqfbDvuIRaAbaPMmKrcHpzZOSuZwovCMtBdL2xk80MPzwPM24CM3hTekJ2WSXh9PLwM5OCzndnvjmv8cEMpMYIYqNwTnrqzmzJRfOqaM6K%252BfTEY8Hse%252BoP4%253D%7Campid%3APL_CLK%7Cclp%3A2332490&amp;itmmeta=01M3XM7EJPTMJSFBDZ6C6AAH7P" xr:uid="{4501576A-3AB9-4C76-BB45-4140C6D8F24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E5514EFE65F4E8BD4F79E5700A271" ma:contentTypeVersion="15" ma:contentTypeDescription="Create a new document." ma:contentTypeScope="" ma:versionID="bd4488ac6ff5d5fed6befb16a0157598">
  <xsd:schema xmlns:xsd="http://www.w3.org/2001/XMLSchema" xmlns:xs="http://www.w3.org/2001/XMLSchema" xmlns:p="http://schemas.microsoft.com/office/2006/metadata/properties" xmlns:ns3="9198b1fd-358e-45fb-bdf7-f7260f8bea38" xmlns:ns4="1d83a163-44bc-4e6e-b6b0-ecb43fc9c791" targetNamespace="http://schemas.microsoft.com/office/2006/metadata/properties" ma:root="true" ma:fieldsID="5566a0e904ddb0beb6ef32b558e35e53" ns3:_="" ns4:_="">
    <xsd:import namespace="9198b1fd-358e-45fb-bdf7-f7260f8bea38"/>
    <xsd:import namespace="1d83a163-44bc-4e6e-b6b0-ecb43fc9c7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8b1fd-358e-45fb-bdf7-f7260f8bea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3a163-44bc-4e6e-b6b0-ecb43fc9c7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98b1fd-358e-45fb-bdf7-f7260f8bea38" xsi:nil="true"/>
  </documentManagement>
</p:properties>
</file>

<file path=customXml/itemProps1.xml><?xml version="1.0" encoding="utf-8"?>
<ds:datastoreItem xmlns:ds="http://schemas.openxmlformats.org/officeDocument/2006/customXml" ds:itemID="{8CE2F73F-AE9C-4F09-87BB-63FF8CFD5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98b1fd-358e-45fb-bdf7-f7260f8bea38"/>
    <ds:schemaRef ds:uri="1d83a163-44bc-4e6e-b6b0-ecb43fc9c7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C91886-5DA0-4E68-9B51-063847DFF9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776F69-5EC1-447F-A36A-EC9723B33E80}">
  <ds:schemaRefs>
    <ds:schemaRef ds:uri="http://schemas.microsoft.com/office/2006/documentManagement/types"/>
    <ds:schemaRef ds:uri="http://schemas.microsoft.com/office/2006/metadata/properties"/>
    <ds:schemaRef ds:uri="9198b1fd-358e-45fb-bdf7-f7260f8bea38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d83a163-44bc-4e6e-b6b0-ecb43fc9c79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Pennese, Connor</dc:creator>
  <cp:keywords/>
  <dc:description/>
  <cp:lastModifiedBy>Pennese, Connor</cp:lastModifiedBy>
  <cp:revision/>
  <dcterms:created xsi:type="dcterms:W3CDTF">2026-09-29T16:10:19Z</dcterms:created>
  <dcterms:modified xsi:type="dcterms:W3CDTF">2026-10-02T22:16:30Z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0x010100C87E5514EFE65F4E8BD4F79E5700A271</vt:lpwstr>
  </property>
</Properties>
</file>