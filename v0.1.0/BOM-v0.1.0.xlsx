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emailsc-my.sharepoint.com/personal/cpennese_email_sc_edu/Documents/Attachments/"/>
    </mc:Choice>
  </mc:AlternateContent>
  <xr:revisionPtr revIDLastSave="0" documentId="8_{9DCA2A85-FF07-4C7E-8A7E-D6496C3902C5}" xr6:coauthVersionLast="47" xr6:coauthVersionMax="47" xr10:uidLastSave="{00000000-0000-0000-0000-000000000000}"/>
  <bookViews>
    <workbookView xWindow="11424" yWindow="0" windowWidth="11712" windowHeight="13056" xr2:uid="{B9911C6F-0B58-40F6-BAF9-4BEDC7DF3945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2" i="1" l="1"/>
  <c r="G10" i="1"/>
</calcChain>
</file>

<file path=xl/sharedStrings.xml><?xml version="1.0" encoding="utf-8"?>
<sst xmlns="http://schemas.openxmlformats.org/spreadsheetml/2006/main" count="69" uniqueCount="62">
  <si>
    <t>Internal Part Name</t>
  </si>
  <si>
    <t>Material type</t>
  </si>
  <si>
    <t>MFR / Vendor Description</t>
  </si>
  <si>
    <t>MFR Part Number</t>
  </si>
  <si>
    <t>Amount Per unit</t>
  </si>
  <si>
    <t>Individual Cost</t>
  </si>
  <si>
    <t>Total Cost  (per unit)</t>
  </si>
  <si>
    <t>Notes</t>
  </si>
  <si>
    <t>Vendor 1</t>
  </si>
  <si>
    <t>Vendor 2</t>
  </si>
  <si>
    <t>Vendor 3</t>
  </si>
  <si>
    <t>Vendor 4</t>
  </si>
  <si>
    <t>Vendor 5</t>
  </si>
  <si>
    <t>Vendor 6</t>
  </si>
  <si>
    <t>BVV 2 Gallon Resin Trap Vacuum Chamber</t>
  </si>
  <si>
    <t>Machine</t>
  </si>
  <si>
    <t>*</t>
  </si>
  <si>
    <t>BVV2G-RT</t>
  </si>
  <si>
    <t>http://ebay.com/itm/274055133119?_skw=VARTM+resin+trap&amp;itmmeta=01M3PYM3ACJPNCGDH0A9XBDMM2&amp;hash=item3fcef577bf:g:HWgAAOSweypgVfWj&amp;itmprp=enc%3AAQALAAAA8GfYFPkwiKCW4ZNSs2u11xC9E1BFdd5ljRkNriErc2ECLeQoXDVlvmO3nFcP0LgcKWueaMqCBicBJnz%2Be4VZzAs%2FjgpIlgMvBKbufEEY8C0q9Vg4QGDXc7BteSFTmvqloT41aMAwXKjpRLsqFZVyulAp%2FPbKUoUNovFJusi2wBqhDuGTQ1HEpAqxhPz46JT1ccSEIvtqBxpOHpdyfNvAMs2EeHykb8Ue4as6FdfsjiuzjlYdsxNNhjb3RG9sNvh0FUYx9yXfJXHO28WG5Iw1Ar9zJ2UN1Hfw%2Bd56vPucWI7t%2FND8WqkN2TeiPc3Bi3ULSA%3D%3D%7Ctkp%3ABk9SR8S10N6daA</t>
  </si>
  <si>
    <t>6 OZ Fiberglass Cloth</t>
  </si>
  <si>
    <t>Fiberglass Component</t>
  </si>
  <si>
    <t>650, 6oz Fiberglass Cloth, 50" Width, 5 YD</t>
  </si>
  <si>
    <t>LBI-650-5</t>
  </si>
  <si>
    <t>1 (bought in intervals of 5yds)</t>
  </si>
  <si>
    <t>https://www.lbifiberglass.com/product/6-oz-fiberglass-cloth/?utm_source=chatgpt.com</t>
  </si>
  <si>
    <t>Airtech Vacuum Bag Sealant Tape</t>
  </si>
  <si>
    <t>Consumable</t>
  </si>
  <si>
    <t>Airtech Vacuum Bag Sealant Tape, Roll</t>
  </si>
  <si>
    <t>AIRTECH VACUUM TAPE</t>
  </si>
  <si>
    <t>3 rolls</t>
  </si>
  <si>
    <t>https://fiberglassflorida.com/airtech-vacuum-bag-sealant-tape.html</t>
  </si>
  <si>
    <t>Airtech - VAC RIC (Resin Infusion Connector)</t>
  </si>
  <si>
    <t xml:space="preserve"> Z-1602</t>
  </si>
  <si>
    <t>https://www.compositeenvisions.com/Airtech-VAC-RIC-Resin-Infusion-Connector?quantity=1&amp;hole-size=1&amp;srsltid=AU7gw4UUj9Brj03AHU3FPr_yg-0Iv3YqO1riGBG9767gAx5fbKh6AOmS</t>
  </si>
  <si>
    <t>Econostitch® Peel Ply 60"</t>
  </si>
  <si>
    <t>7ECONOSTITCH</t>
  </si>
  <si>
    <t>3 yds</t>
  </si>
  <si>
    <t>https://fiberglassflorida.com/econostitchr-peel-ply-60.html</t>
  </si>
  <si>
    <t>GREEN FLOW MEDIA 60"</t>
  </si>
  <si>
    <t>greenflow60"</t>
  </si>
  <si>
    <t>https://fiberglassflorida.com/green-flow-media-41.html</t>
  </si>
  <si>
    <t>AIRTECH BAGGING FILM 60"</t>
  </si>
  <si>
    <t>7AIRTECHWL5400</t>
  </si>
  <si>
    <t>5 yds</t>
  </si>
  <si>
    <t>https://fiberglassflorida.com/airtech-bagging-film-160-vaccum-blue.html</t>
  </si>
  <si>
    <t>Latex Gloves-Box (100/Gloves)</t>
  </si>
  <si>
    <t>Misc</t>
  </si>
  <si>
    <t>12LATEX</t>
  </si>
  <si>
    <t>1 box</t>
  </si>
  <si>
    <t>Size Large</t>
  </si>
  <si>
    <t>https://fiberglassflorida.com/latex-gloves.html</t>
  </si>
  <si>
    <t>12oz Barium Mixing Cups for Resin &amp; Gelcoat</t>
  </si>
  <si>
    <t>12OZ BARIUM CUPS-1</t>
  </si>
  <si>
    <t>30 cups</t>
  </si>
  <si>
    <t>https://fiberglassflorida.com/12oz-barium-cups.html</t>
  </si>
  <si>
    <t>1General Purpose Epoxy 2:1 | Fiberglass Florida</t>
  </si>
  <si>
    <t>gpepoxy1</t>
  </si>
  <si>
    <t>1 kit</t>
  </si>
  <si>
    <t>Quart Kit</t>
  </si>
  <si>
    <t>https://fiberglassflorida.com/general-purpose-epoxy-2-1.html</t>
  </si>
  <si>
    <t>Fiber glass Florida has insanely long descriptions</t>
  </si>
  <si>
    <t>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</si>
</sst>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0" xfId="1"/>
    <xf numFmtId="0" fontId="0" fillId="2" borderId="3" xfId="0" applyFill="1" applyBorder="1"/>
    <xf numFmtId="0" fontId="0" fillId="2" borderId="2" xfId="0" applyFill="1" applyBorder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iberglassflorida.com/latex-gloves.html" TargetMode="External"/><Relationship Id="rId3" Type="http://schemas.openxmlformats.org/officeDocument/2006/relationships/hyperlink" Target="https://fiberglassflorida.com/airtech-vacuum-bag-sealant-tape.html" TargetMode="External"/><Relationship Id="rId7" Type="http://schemas.openxmlformats.org/officeDocument/2006/relationships/hyperlink" Target="https://fiberglassflorida.com/airtech-bagging-film-160-vaccum-blue.html" TargetMode="External"/><Relationship Id="rId2" Type="http://schemas.openxmlformats.org/officeDocument/2006/relationships/hyperlink" Target="https://www.lbifiberglass.com/product/6-oz-fiberglass-cloth/?utm_source=chatgpt.com" TargetMode="External"/><Relationship Id="rId1" Type="http://schemas.openxmlformats.org/officeDocument/2006/relationships/hyperlink" Target="http://ebay.com/itm/274055133119?_skw=VARTM+resin+trap&amp;itmmeta=01M3PYM3ACJPNCGDH0A9XBDMM2&amp;hash=item3fcef577bf:g:HWgAAOSweypgVfWj&amp;itmprp=enc%3AAQALAAAA8GfYFPkwiKCW4ZNSs2u11xC9E1BFdd5ljRkNriErc2ECLeQoXDVlvmO3nFcP0LgcKWueaMqCBicBJnz%2Be4VZzAs%2FjgpIlgMvBKbufEEY8C0q9Vg4QGDXc7BteSFTmvqloT41aMAwXKjpRLsqFZVyulAp%2FPbKUoUNovFJusi2wBqhDuGTQ1HEpAqxhPz46JT1ccSEIvtqBxpOHpdyfNvAMs2EeHykb8Ue4as6FdfsjiuzjlYdsxNNhjb3RG9sNvh0FUYx9yXfJXHO28WG5Iw1Ar9zJ2UN1Hfw%2Bd56vPucWI7t%2FND8WqkN2TeiPc3Bi3ULSA%3D%3D%7Ctkp%3ABk9SR8S10N6daA" TargetMode="External"/><Relationship Id="rId6" Type="http://schemas.openxmlformats.org/officeDocument/2006/relationships/hyperlink" Target="https://fiberglassflorida.com/green-flow-media-41.html" TargetMode="External"/><Relationship Id="rId5" Type="http://schemas.openxmlformats.org/officeDocument/2006/relationships/hyperlink" Target="https://fiberglassflorida.com/econostitchr-peel-ply-60.html" TargetMode="External"/><Relationship Id="rId10" Type="http://schemas.openxmlformats.org/officeDocument/2006/relationships/hyperlink" Target="https://fiberglassflorida.com/general-purpose-epoxy-2-1.html" TargetMode="External"/><Relationship Id="rId4" Type="http://schemas.openxmlformats.org/officeDocument/2006/relationships/hyperlink" Target="https://www.compositeenvisions.com/Airtech-VAC-RIC-Resin-Infusion-Connector?quantity=1&amp;hole-size=1&amp;srsltid=AU7gw4UUj9Brj03AHU3FPr_yg-0Iv3YqO1riGBG9767gAx5fbKh6AOmS" TargetMode="External"/><Relationship Id="rId9" Type="http://schemas.openxmlformats.org/officeDocument/2006/relationships/hyperlink" Target="https://fiberglassflorida.com/12oz-barium-cup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4AB73-3D58-471D-94BA-BB655CD96E29}">
  <dimension ref="A1:N12"/>
  <sheetViews>
    <sheetView tabSelected="1" workbookViewId="0">
      <selection activeCell="C2" sqref="C2"/>
    </sheetView>
  </sheetViews>
  <sheetFormatPr defaultRowHeight="14.45"/>
  <cols>
    <col min="1" max="1" width="39.42578125" customWidth="1"/>
    <col min="2" max="2" width="24.28515625" customWidth="1"/>
    <col min="3" max="3" width="41.7109375" customWidth="1"/>
    <col min="4" max="4" width="24.28515625" customWidth="1"/>
    <col min="5" max="5" width="24.140625" customWidth="1"/>
    <col min="6" max="6" width="19.42578125" customWidth="1"/>
    <col min="7" max="7" width="20.2851562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 t="s">
        <v>15</v>
      </c>
      <c r="C2" t="s">
        <v>16</v>
      </c>
      <c r="D2" t="s">
        <v>17</v>
      </c>
      <c r="E2">
        <v>1</v>
      </c>
      <c r="F2">
        <v>141.94999999999999</v>
      </c>
      <c r="G2">
        <v>141.94999999999999</v>
      </c>
      <c r="I2" s="2" t="s">
        <v>18</v>
      </c>
    </row>
    <row r="3" spans="1:14">
      <c r="A3" t="s">
        <v>19</v>
      </c>
      <c r="B3" t="s">
        <v>20</v>
      </c>
      <c r="C3" t="s">
        <v>21</v>
      </c>
      <c r="D3" t="s">
        <v>22</v>
      </c>
      <c r="E3" t="s">
        <v>23</v>
      </c>
      <c r="F3">
        <v>27.25</v>
      </c>
      <c r="G3">
        <v>27.25</v>
      </c>
      <c r="I3" s="2" t="s">
        <v>24</v>
      </c>
    </row>
    <row r="4" spans="1:14">
      <c r="A4" t="s">
        <v>25</v>
      </c>
      <c r="B4" t="s">
        <v>26</v>
      </c>
      <c r="C4" t="s">
        <v>27</v>
      </c>
      <c r="D4" t="s">
        <v>28</v>
      </c>
      <c r="E4" t="s">
        <v>29</v>
      </c>
      <c r="F4">
        <v>12.76</v>
      </c>
      <c r="G4">
        <v>38.28</v>
      </c>
      <c r="I4" s="2" t="s">
        <v>30</v>
      </c>
    </row>
    <row r="5" spans="1:14">
      <c r="A5" t="s">
        <v>31</v>
      </c>
      <c r="B5" t="s">
        <v>26</v>
      </c>
      <c r="D5" t="s">
        <v>32</v>
      </c>
      <c r="E5">
        <v>1</v>
      </c>
      <c r="F5">
        <v>10.35</v>
      </c>
      <c r="G5">
        <v>10.35</v>
      </c>
      <c r="I5" s="2" t="s">
        <v>33</v>
      </c>
    </row>
    <row r="6" spans="1:14">
      <c r="A6" t="s">
        <v>34</v>
      </c>
      <c r="B6" t="s">
        <v>26</v>
      </c>
      <c r="D6" t="s">
        <v>35</v>
      </c>
      <c r="E6" t="s">
        <v>36</v>
      </c>
      <c r="F6">
        <v>7.45</v>
      </c>
      <c r="G6">
        <v>22.35</v>
      </c>
      <c r="I6" s="2" t="s">
        <v>37</v>
      </c>
    </row>
    <row r="7" spans="1:14">
      <c r="A7" t="s">
        <v>38</v>
      </c>
      <c r="B7" t="s">
        <v>26</v>
      </c>
      <c r="D7" t="s">
        <v>39</v>
      </c>
      <c r="E7" t="s">
        <v>36</v>
      </c>
      <c r="F7">
        <v>4.41</v>
      </c>
      <c r="G7">
        <v>13.23</v>
      </c>
      <c r="I7" s="2" t="s">
        <v>40</v>
      </c>
    </row>
    <row r="8" spans="1:14">
      <c r="A8" t="s">
        <v>41</v>
      </c>
      <c r="B8" t="s">
        <v>26</v>
      </c>
      <c r="D8" t="s">
        <v>42</v>
      </c>
      <c r="E8" t="s">
        <v>43</v>
      </c>
      <c r="F8">
        <v>9.81</v>
      </c>
      <c r="G8">
        <v>49.05</v>
      </c>
      <c r="I8" s="2" t="s">
        <v>44</v>
      </c>
    </row>
    <row r="9" spans="1:14">
      <c r="A9" t="s">
        <v>45</v>
      </c>
      <c r="B9" t="s">
        <v>46</v>
      </c>
      <c r="D9" t="s">
        <v>47</v>
      </c>
      <c r="E9" t="s">
        <v>48</v>
      </c>
      <c r="F9">
        <v>10.88</v>
      </c>
      <c r="G9">
        <v>10.88</v>
      </c>
      <c r="H9" t="s">
        <v>49</v>
      </c>
      <c r="I9" s="2" t="s">
        <v>50</v>
      </c>
    </row>
    <row r="10" spans="1:14">
      <c r="A10" t="s">
        <v>51</v>
      </c>
      <c r="B10" t="s">
        <v>46</v>
      </c>
      <c r="D10" t="s">
        <v>52</v>
      </c>
      <c r="E10" t="s">
        <v>53</v>
      </c>
      <c r="F10">
        <v>0.56000000000000005</v>
      </c>
      <c r="G10">
        <f>0.56*30</f>
        <v>16.8</v>
      </c>
      <c r="I10" s="2" t="s">
        <v>54</v>
      </c>
    </row>
    <row r="11" spans="1:14">
      <c r="A11" t="s">
        <v>55</v>
      </c>
      <c r="B11" t="s">
        <v>20</v>
      </c>
      <c r="D11" t="s">
        <v>56</v>
      </c>
      <c r="E11" t="s">
        <v>57</v>
      </c>
      <c r="F11">
        <v>46.63</v>
      </c>
      <c r="G11">
        <v>46.63</v>
      </c>
      <c r="H11" t="s">
        <v>58</v>
      </c>
      <c r="I11" s="2" t="s">
        <v>59</v>
      </c>
    </row>
    <row r="12" spans="1:14">
      <c r="C12" t="s">
        <v>60</v>
      </c>
      <c r="F12" s="4" t="s">
        <v>61</v>
      </c>
      <c r="G12" s="3">
        <f>G2+G3+G4+G5+G7+G6+G8+G9+G10+G11</f>
        <v>376.77</v>
      </c>
    </row>
  </sheetData>
  <hyperlinks>
    <hyperlink ref="I2" r:id="rId1" display="http://ebay.com/itm/274055133119?_skw=VARTM+resin+trap&amp;itmmeta=01M3PYM3ACJPNCGDH0A9XBDMM2&amp;hash=item3fcef577bf:g:HWgAAOSweypgVfWj&amp;itmprp=enc%3AAQALAAAA8GfYFPkwiKCW4ZNSs2u11xC9E1BFdd5ljRkNriErc2ECLeQoXDVlvmO3nFcP0LgcKWueaMqCBicBJnz%2Be4VZzAs%2FjgpIlgMvBKbufEEY8C0q9Vg4QGDXc7BteSFTmvqloT41aMAwXKjpRLsqFZVyulAp%2FPbKUoUNovFJusi2wBqhDuGTQ1HEpAqxhPz46JT1ccSEIvtqBxpOHpdyfNvAMs2EeHykb8Ue4as6FdfsjiuzjlYdsxNNhjb3RG9sNvh0FUYx9yXfJXHO28WG5Iw1Ar9zJ2UN1Hfw%2Bd56vPucWI7t%2FND8WqkN2TeiPc3Bi3ULSA%3D%3D%7Ctkp%3ABk9SR8S10N6daA" xr:uid="{022209CD-50F0-421A-A795-5CE83C08930A}"/>
    <hyperlink ref="I3" r:id="rId2" xr:uid="{B5CD636A-338C-4C62-A6FF-BBA4789351EC}"/>
    <hyperlink ref="I4" r:id="rId3" xr:uid="{63A8FE4F-1F4A-416B-ADF3-DC0D831ABC17}"/>
    <hyperlink ref="I5" r:id="rId4" xr:uid="{547E9E05-DB22-412A-8DD4-931B99E2BC09}"/>
    <hyperlink ref="I6" r:id="rId5" xr:uid="{11B6B6BA-99EB-4254-9055-BC76504B1316}"/>
    <hyperlink ref="I7" r:id="rId6" xr:uid="{DD916175-FCA6-4919-91FC-E4CEAB019867}"/>
    <hyperlink ref="I8" r:id="rId7" xr:uid="{17526623-6485-41EC-AEAD-B94C9176B97F}"/>
    <hyperlink ref="I9" r:id="rId8" xr:uid="{5E11E40F-DA71-4724-9E02-158766486D67}"/>
    <hyperlink ref="I10" r:id="rId9" xr:uid="{2EE44D3D-C25B-43B1-B76A-2CE7336F6FB3}"/>
    <hyperlink ref="I11" r:id="rId10" xr:uid="{B1C12278-1783-4746-9111-56931CBC31E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Pennese, Connor</dc:creator>
  <cp:keywords/>
  <dc:description/>
  <cp:lastModifiedBy/>
  <cp:revision/>
  <dcterms:created xsi:type="dcterms:W3CDTF">2026-09-29T16:10:19Z</dcterms:created>
  <dcterms:modified xsi:type="dcterms:W3CDTF">2026-10-02T16:28:57Z</dcterms:modified>
  <cp:category/>
  <cp:contentStatus/>
</cp:coreProperties>
</file>